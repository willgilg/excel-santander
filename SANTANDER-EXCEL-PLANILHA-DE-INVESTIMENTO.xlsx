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TEST-SINC-24-08\@Cursos\Santander-Excel\"/>
    </mc:Choice>
  </mc:AlternateContent>
  <xr:revisionPtr revIDLastSave="0" documentId="13_ncr:1_{FB41F9DB-14CB-452A-9EA8-F8C61BF164D0}" xr6:coauthVersionLast="47" xr6:coauthVersionMax="47" xr10:uidLastSave="{00000000-0000-0000-0000-000000000000}"/>
  <bookViews>
    <workbookView xWindow="28680" yWindow="-120" windowWidth="20730" windowHeight="11040" tabRatio="327" xr2:uid="{AA247B9D-33CF-4981-AD17-8584C75F6784}"/>
  </bookViews>
  <sheets>
    <sheet name="Planilha1" sheetId="1" r:id="rId1"/>
    <sheet name="Planilha2" sheetId="6" r:id="rId2"/>
  </sheets>
  <definedNames>
    <definedName name="aporte">Planilha1!$D$12</definedName>
    <definedName name="patrimonio">Planilha1!$D$15</definedName>
    <definedName name="qtd_anos">Planilha1!$D$13</definedName>
    <definedName name="rendimento_carteira">Planilha1!$D$5</definedName>
    <definedName name="salario">Planilha1!$D$4</definedName>
    <definedName name="sugestao_investimento">Planilha1!$D$6</definedName>
    <definedName name="taxa_mensal">Planilha1!$D$14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H3" i="6"/>
  <c r="A3" i="6"/>
  <c r="A10" i="6"/>
  <c r="A11" i="6"/>
  <c r="A12" i="6"/>
  <c r="A13" i="6"/>
  <c r="A14" i="6"/>
  <c r="A15" i="6"/>
  <c r="A16" i="6"/>
  <c r="A17" i="6"/>
  <c r="A18" i="6"/>
  <c r="A19" i="6"/>
  <c r="A20" i="6"/>
  <c r="A9" i="6"/>
  <c r="A4" i="6"/>
  <c r="A5" i="6"/>
  <c r="A6" i="6"/>
  <c r="A7" i="6"/>
  <c r="A8" i="6"/>
  <c r="C26" i="1"/>
  <c r="D6" i="1"/>
  <c r="D15" i="1"/>
  <c r="D16" i="1" s="1"/>
  <c r="C19" i="1"/>
  <c r="D19" i="1" s="1"/>
  <c r="C20" i="1"/>
  <c r="D20" i="1" s="1"/>
  <c r="C21" i="1"/>
  <c r="D21" i="1" s="1"/>
  <c r="C22" i="1"/>
  <c r="D22" i="1" s="1"/>
  <c r="C23" i="1"/>
  <c r="D23" i="1" s="1"/>
  <c r="D29" i="1" l="1"/>
  <c r="C31" i="1"/>
  <c r="C34" i="1"/>
  <c r="D34" i="1" s="1"/>
  <c r="C33" i="1"/>
  <c r="D33" i="1" s="1"/>
  <c r="C32" i="1"/>
  <c r="D32" i="1" s="1"/>
  <c r="C30" i="1"/>
  <c r="D30" i="1" s="1"/>
  <c r="D31" i="1"/>
  <c r="D35" i="1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<sst xmlns="http://schemas.openxmlformats.org/spreadsheetml/2006/main" count="70" uniqueCount="35">
  <si>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</si>
  <si>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</si>
  <si>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</si>
  <si>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</si>
  <si>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</si>
  <si>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</si>
  <si>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</si>
  <si>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</si>
  <si>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30 anos?</t>
  </si>
  <si>
    <t>Quanto em 20 anos?</t>
  </si>
  <si>
    <t>Quanto em 10 anos?</t>
  </si>
  <si>
    <t>CENÁRIOS</t>
  </si>
  <si>
    <t>Divideno</t>
  </si>
  <si>
    <t>Salário</t>
  </si>
  <si>
    <t>Rendimento Carteira</t>
  </si>
  <si>
    <t>CONFIGURAÇÕES</t>
  </si>
  <si>
    <t>Perfil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</si>
  <si>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</si>
  <si>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</si>
  <si>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</si>
  <si>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</si>
  <si>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</si>
  <si>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</si>
  <si>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HIBRIDOS</t>
  </si>
  <si>
    <t>FOFs</t>
  </si>
  <si>
    <t>DESENVOLVIMENTO</t>
  </si>
  <si>
    <t>HOTELARIA</t>
  </si>
  <si>
    <t>PERFIL</t>
  </si>
  <si>
    <t>Conservador</t>
  </si>
  <si>
    <t>Moderado</t>
  </si>
  <si>
    <t>%</t>
  </si>
  <si>
    <t>CHAVE</t>
  </si>
  <si>
    <t>Agressivo</t>
  </si>
  <si>
    <t>Moderado-TIJOLO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</si>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</sst>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0.0%"/>
    <numFmt numFmtId="165" formatCode="&quot;R$&quot;\ #,##0.00"/>
    <numFmt numFmtId="166" formatCode="&quot;R$&quot;\ #,##0.000;[Red]\-&quot;R$&quot;\ #,##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Segoe UI Semibold"/>
      <family val="2"/>
    </font>
    <font>
      <b/>
      <sz val="12"/>
      <color theme="1"/>
      <name val="Segoe UI Semibold"/>
      <family val="2"/>
    </font>
    <font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  <font>
      <b/>
      <sz val="1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 tint="-0.14996795556505021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double">
        <color indexed="64"/>
      </bottom>
      <diagonal/>
    </border>
    <border>
      <left/>
      <right style="medium">
        <color theme="0"/>
      </right>
      <top style="medium">
        <color theme="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3" borderId="0" xfId="0" applyFill="1"/>
    <xf numFmtId="0" fontId="4" fillId="3" borderId="0" xfId="0" applyFont="1" applyFill="1"/>
    <xf numFmtId="8" fontId="0" fillId="0" borderId="0" xfId="0" applyNumberFormat="1"/>
    <xf numFmtId="0" fontId="5" fillId="5" borderId="16" xfId="0" applyFont="1" applyFill="1" applyBorder="1" applyAlignment="1">
      <alignment horizontal="left" vertical="center"/>
    </xf>
    <xf numFmtId="0" fontId="0" fillId="5" borderId="17" xfId="0" applyFill="1" applyBorder="1"/>
    <xf numFmtId="0" fontId="4" fillId="5" borderId="18" xfId="0" applyFont="1" applyFill="1" applyBorder="1"/>
    <xf numFmtId="9" fontId="0" fillId="0" borderId="0" xfId="0" applyNumberFormat="1"/>
    <xf numFmtId="165" fontId="0" fillId="0" borderId="0" xfId="0" applyNumberFormat="1"/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8" fontId="10" fillId="4" borderId="8" xfId="0" applyNumberFormat="1" applyFont="1" applyFill="1" applyBorder="1" applyAlignment="1">
      <alignment horizontal="center"/>
    </xf>
    <xf numFmtId="8" fontId="10" fillId="4" borderId="9" xfId="0" applyNumberFormat="1" applyFont="1" applyFill="1" applyBorder="1" applyAlignment="1">
      <alignment horizontal="center"/>
    </xf>
    <xf numFmtId="8" fontId="10" fillId="4" borderId="11" xfId="0" applyNumberFormat="1" applyFont="1" applyFill="1" applyBorder="1" applyAlignment="1">
      <alignment horizontal="center"/>
    </xf>
    <xf numFmtId="8" fontId="10" fillId="4" borderId="12" xfId="0" applyNumberFormat="1" applyFont="1" applyFill="1" applyBorder="1" applyAlignment="1">
      <alignment horizontal="center"/>
    </xf>
    <xf numFmtId="8" fontId="10" fillId="4" borderId="14" xfId="0" applyNumberFormat="1" applyFont="1" applyFill="1" applyBorder="1" applyAlignment="1">
      <alignment horizontal="center"/>
    </xf>
    <xf numFmtId="8" fontId="10" fillId="4" borderId="15" xfId="0" applyNumberFormat="1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left" indent="3"/>
    </xf>
    <xf numFmtId="0" fontId="11" fillId="4" borderId="10" xfId="0" applyFont="1" applyFill="1" applyBorder="1" applyAlignment="1">
      <alignment horizontal="left" indent="3"/>
    </xf>
    <xf numFmtId="0" fontId="11" fillId="4" borderId="13" xfId="0" applyFont="1" applyFill="1" applyBorder="1" applyAlignment="1">
      <alignment horizontal="left" indent="3"/>
    </xf>
    <xf numFmtId="165" fontId="9" fillId="3" borderId="19" xfId="0" applyNumberFormat="1" applyFont="1" applyFill="1" applyBorder="1" applyAlignment="1">
      <alignment horizontal="center"/>
    </xf>
    <xf numFmtId="164" fontId="9" fillId="3" borderId="12" xfId="0" applyNumberFormat="1" applyFont="1" applyFill="1" applyBorder="1" applyAlignment="1">
      <alignment horizontal="center"/>
    </xf>
    <xf numFmtId="165" fontId="9" fillId="3" borderId="15" xfId="0" applyNumberFormat="1" applyFont="1" applyFill="1" applyBorder="1" applyAlignment="1">
      <alignment horizontal="center"/>
    </xf>
    <xf numFmtId="0" fontId="6" fillId="0" borderId="0" xfId="0" applyFont="1"/>
    <xf numFmtId="0" fontId="5" fillId="7" borderId="1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 vertical="center"/>
    </xf>
    <xf numFmtId="8" fontId="10" fillId="4" borderId="6" xfId="0" applyNumberFormat="1" applyFont="1" applyFill="1" applyBorder="1" applyAlignment="1">
      <alignment horizontal="center" vertical="center"/>
    </xf>
    <xf numFmtId="166" fontId="10" fillId="4" borderId="4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left" indent="3"/>
    </xf>
    <xf numFmtId="0" fontId="2" fillId="2" borderId="0" xfId="2"/>
    <xf numFmtId="0" fontId="12" fillId="2" borderId="0" xfId="2" applyFont="1" applyBorder="1" applyAlignment="1">
      <alignment horizontal="center"/>
    </xf>
    <xf numFmtId="0" fontId="12" fillId="2" borderId="0" xfId="2" applyFont="1" applyAlignment="1">
      <alignment horizontal="center"/>
    </xf>
    <xf numFmtId="165" fontId="13" fillId="4" borderId="0" xfId="0" applyNumberFormat="1" applyFont="1" applyFill="1" applyAlignment="1">
      <alignment horizontal="left" indent="3"/>
    </xf>
    <xf numFmtId="0" fontId="3" fillId="0" borderId="0" xfId="0" applyFont="1" applyAlignment="1">
      <alignment horizontal="center"/>
    </xf>
    <xf numFmtId="0" fontId="11" fillId="8" borderId="21" xfId="0" applyFont="1" applyFill="1" applyBorder="1" applyAlignment="1">
      <alignment horizontal="left" indent="3"/>
    </xf>
    <xf numFmtId="0" fontId="11" fillId="8" borderId="23" xfId="0" applyFont="1" applyFill="1" applyBorder="1" applyAlignment="1">
      <alignment horizontal="left" indent="3"/>
    </xf>
    <xf numFmtId="0" fontId="11" fillId="8" borderId="24" xfId="0" applyFont="1" applyFill="1" applyBorder="1" applyAlignment="1">
      <alignment horizontal="left" indent="3"/>
    </xf>
    <xf numFmtId="0" fontId="11" fillId="8" borderId="25" xfId="0" applyFont="1" applyFill="1" applyBorder="1" applyAlignment="1">
      <alignment horizontal="left" indent="3"/>
    </xf>
    <xf numFmtId="0" fontId="11" fillId="0" borderId="26" xfId="0" applyFont="1" applyBorder="1" applyAlignment="1">
      <alignment horizontal="left" indent="3"/>
    </xf>
    <xf numFmtId="0" fontId="11" fillId="0" borderId="27" xfId="0" applyFont="1" applyBorder="1" applyAlignment="1">
      <alignment horizontal="left" indent="3"/>
    </xf>
    <xf numFmtId="0" fontId="11" fillId="0" borderId="21" xfId="0" applyFont="1" applyBorder="1" applyAlignment="1">
      <alignment horizontal="left" indent="3"/>
    </xf>
    <xf numFmtId="0" fontId="11" fillId="0" borderId="22" xfId="0" applyFont="1" applyBorder="1" applyAlignment="1">
      <alignment horizontal="left" indent="3"/>
    </xf>
    <xf numFmtId="0" fontId="11" fillId="4" borderId="21" xfId="0" applyFont="1" applyFill="1" applyBorder="1" applyAlignment="1">
      <alignment horizontal="left" indent="3"/>
    </xf>
    <xf numFmtId="0" fontId="11" fillId="4" borderId="22" xfId="0" applyFont="1" applyFill="1" applyBorder="1" applyAlignment="1">
      <alignment horizontal="left" indent="3"/>
    </xf>
    <xf numFmtId="0" fontId="11" fillId="4" borderId="28" xfId="0" applyFont="1" applyFill="1" applyBorder="1" applyAlignment="1">
      <alignment horizontal="left" indent="3"/>
    </xf>
    <xf numFmtId="0" fontId="11" fillId="4" borderId="29" xfId="0" applyFont="1" applyFill="1" applyBorder="1" applyAlignment="1">
      <alignment horizontal="left" indent="3"/>
    </xf>
    <xf numFmtId="0" fontId="11" fillId="8" borderId="20" xfId="0" applyFont="1" applyFill="1" applyBorder="1" applyAlignment="1">
      <alignment horizontal="left" indent="3"/>
    </xf>
    <xf numFmtId="0" fontId="11" fillId="8" borderId="30" xfId="0" applyFont="1" applyFill="1" applyBorder="1" applyAlignment="1">
      <alignment horizontal="left" indent="3"/>
    </xf>
    <xf numFmtId="0" fontId="7" fillId="7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5" fontId="0" fillId="4" borderId="0" xfId="0" applyNumberFormat="1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9" fontId="0" fillId="0" borderId="0" xfId="0" applyNumberFormat="1" applyBorder="1"/>
    <xf numFmtId="9" fontId="0" fillId="0" borderId="31" xfId="0" applyNumberFormat="1" applyBorder="1"/>
    <xf numFmtId="9" fontId="0" fillId="0" borderId="0" xfId="0" applyNumberFormat="1" applyFill="1" applyBorder="1"/>
    <xf numFmtId="9" fontId="0" fillId="0" borderId="0" xfId="1" applyFont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152E-8F41-4228-ACBE-788553D425A3}">
  <dimension ref="A1:G35"/>
  <sheetViews>
    <sheetView showGridLines="0" tabSelected="1" topLeftCell="A17" workbookViewId="0">
      <selection activeCell="D30" sqref="D30"/>
    </sheetView>
  </sheetViews>
  <sheetFormatPr defaultColWidth="0" defaultRowHeight="15" x14ac:dyDescent="0.25"/>
  <cols>
    <col min="1" max="1" width="11.7109375" bestFit="1" customWidth="1"/>
    <col min="2" max="2" width="54.42578125" customWidth="1"/>
    <col min="3" max="3" width="35.28515625" customWidth="1"/>
    <col min="4" max="4" width="20.85546875" bestFit="1" customWidth="1"/>
    <col min="5" max="5" width="21" bestFit="1" customWidth="1"/>
    <col min="6" max="6" width="12.28515625" bestFit="1" customWidth="1"/>
    <col min="7" max="7" width="9.140625" customWidth="1"/>
    <col min="8" max="11" width="9.140625" hidden="1" customWidth="1"/>
    <col min="12" max="16384" width="9.140625" hidden="1"/>
  </cols>
  <sheetData>
    <row r="1" spans="1:7" ht="15" customHeight="1" x14ac:dyDescent="0.25"/>
    <row r="2" spans="1:7" ht="4.5" customHeight="1" thickBot="1" x14ac:dyDescent="0.3"/>
    <row r="3" spans="1:7" ht="18" customHeight="1" thickBot="1" x14ac:dyDescent="0.3">
      <c r="B3" s="17" t="s">
        <v>15</v>
      </c>
      <c r="C3" s="18"/>
      <c r="D3" s="19"/>
    </row>
    <row r="4" spans="1:7" ht="18" thickBot="1" x14ac:dyDescent="0.35">
      <c r="B4" s="51" t="s">
        <v>13</v>
      </c>
      <c r="C4" s="52"/>
      <c r="D4" s="23">
        <v>3571.61</v>
      </c>
    </row>
    <row r="5" spans="1:7" ht="18" thickBot="1" x14ac:dyDescent="0.35">
      <c r="B5" s="39" t="s">
        <v>14</v>
      </c>
      <c r="C5" s="40"/>
      <c r="D5" s="24">
        <v>6.0000000000000001E-3</v>
      </c>
    </row>
    <row r="6" spans="1:7" ht="18" thickBot="1" x14ac:dyDescent="0.35">
      <c r="B6" s="41" t="s">
        <v>34</v>
      </c>
      <c r="C6" s="42"/>
      <c r="D6" s="25">
        <f>D4*30%</f>
        <v>1071.4829999999999</v>
      </c>
    </row>
    <row r="7" spans="1:7" ht="17.25" thickTop="1" thickBot="1" x14ac:dyDescent="0.3">
      <c r="A7" s="1"/>
      <c r="D7" s="26"/>
    </row>
    <row r="8" spans="1:7" ht="15" customHeight="1" x14ac:dyDescent="0.25">
      <c r="A8" s="1"/>
      <c r="B8" s="53" t="s">
        <v>0</v>
      </c>
      <c r="C8" s="54"/>
      <c r="D8" s="27"/>
      <c r="G8" s="9"/>
    </row>
    <row r="9" spans="1:7" ht="15" customHeight="1" x14ac:dyDescent="0.25">
      <c r="A9" s="1"/>
      <c r="B9" s="53"/>
      <c r="C9" s="54"/>
      <c r="D9" s="28"/>
      <c r="G9" s="9"/>
    </row>
    <row r="10" spans="1:7" ht="15" customHeight="1" x14ac:dyDescent="0.25">
      <c r="A10" s="1"/>
      <c r="B10" s="53"/>
      <c r="C10" s="54"/>
      <c r="D10" s="28"/>
      <c r="G10" s="9"/>
    </row>
    <row r="11" spans="1:7" ht="15.75" customHeight="1" thickBot="1" x14ac:dyDescent="0.3">
      <c r="A11" s="1"/>
      <c r="B11" s="53"/>
      <c r="C11" s="54"/>
      <c r="D11" s="28"/>
      <c r="G11" s="9"/>
    </row>
    <row r="12" spans="1:7" ht="18" thickBot="1" x14ac:dyDescent="0.35">
      <c r="A12" s="1"/>
      <c r="B12" s="43" t="s">
        <v>1</v>
      </c>
      <c r="C12" s="44"/>
      <c r="D12" s="25">
        <v>1071</v>
      </c>
      <c r="G12" s="1"/>
    </row>
    <row r="13" spans="1:7" ht="18" thickBot="1" x14ac:dyDescent="0.35">
      <c r="A13" s="1"/>
      <c r="B13" s="45" t="s">
        <v>2</v>
      </c>
      <c r="C13" s="46"/>
      <c r="D13" s="29">
        <v>2</v>
      </c>
    </row>
    <row r="14" spans="1:7" ht="18" thickBot="1" x14ac:dyDescent="0.35">
      <c r="B14" s="45" t="s">
        <v>3</v>
      </c>
      <c r="C14" s="46"/>
      <c r="D14" s="30">
        <v>1.0800000000000001E-2</v>
      </c>
    </row>
    <row r="15" spans="1:7" ht="18" thickBot="1" x14ac:dyDescent="0.35">
      <c r="B15" s="47" t="s">
        <v>4</v>
      </c>
      <c r="C15" s="48"/>
      <c r="D15" s="31">
        <f>FV(taxa_mensal,qtd_anos*12,aporte*-1)</f>
        <v>29164.254980482885</v>
      </c>
    </row>
    <row r="16" spans="1:7" ht="18" thickBot="1" x14ac:dyDescent="0.35">
      <c r="B16" s="49" t="s">
        <v>5</v>
      </c>
      <c r="C16" s="50"/>
      <c r="D16" s="32">
        <f>patrimonio*rendimento_carteira</f>
        <v>174.98552988289731</v>
      </c>
    </row>
    <row r="17" spans="1:4" ht="15.75" thickBot="1" x14ac:dyDescent="0.3">
      <c r="A17" s="2"/>
    </row>
    <row r="18" spans="1:4" ht="15" customHeight="1" thickBot="1" x14ac:dyDescent="0.3">
      <c r="A18" s="2"/>
      <c r="B18" s="4" t="s">
        <v>11</v>
      </c>
      <c r="C18" s="5"/>
      <c r="D18" s="6" t="s">
        <v>12</v>
      </c>
    </row>
    <row r="19" spans="1:4" ht="15" customHeight="1" thickBot="1" x14ac:dyDescent="0.35">
      <c r="A19" s="2">
        <v>2</v>
      </c>
      <c r="B19" s="20" t="s">
        <v>6</v>
      </c>
      <c r="C19" s="11">
        <f>FV($D$14,$A19*12,$D$12*-1)</f>
        <v>29164.254980482885</v>
      </c>
      <c r="D19" s="12">
        <f>C19*rendimento_carteira</f>
        <v>174.98552988289731</v>
      </c>
    </row>
    <row r="20" spans="1:4" ht="15" customHeight="1" thickBot="1" x14ac:dyDescent="0.35">
      <c r="A20" s="2">
        <v>5</v>
      </c>
      <c r="B20" s="21" t="s">
        <v>7</v>
      </c>
      <c r="C20" s="13">
        <f>FV($D$14,$A20*12,$D$12*-1)</f>
        <v>89754.10473376578</v>
      </c>
      <c r="D20" s="14">
        <f>C20*rendimento_carteira</f>
        <v>538.52462840259466</v>
      </c>
    </row>
    <row r="21" spans="1:4" ht="15" customHeight="1" thickBot="1" x14ac:dyDescent="0.35">
      <c r="A21" s="2">
        <v>10</v>
      </c>
      <c r="B21" s="21" t="s">
        <v>10</v>
      </c>
      <c r="C21" s="13">
        <f>FV($D$14,$A21*12,$D$12*-1)</f>
        <v>260743.1605588909</v>
      </c>
      <c r="D21" s="14">
        <f>C21*rendimento_carteira</f>
        <v>1564.4589633533453</v>
      </c>
    </row>
    <row r="22" spans="1:4" ht="18" thickBot="1" x14ac:dyDescent="0.35">
      <c r="A22" s="2">
        <v>20</v>
      </c>
      <c r="B22" s="21" t="s">
        <v>9</v>
      </c>
      <c r="C22" s="13">
        <f>FV($D$14,$A22*12,$D$12*-1)</f>
        <v>1207069.4718227184</v>
      </c>
      <c r="D22" s="14">
        <f>C22*rendimento_carteira</f>
        <v>7242.4168309363104</v>
      </c>
    </row>
    <row r="23" spans="1:4" ht="18" thickBot="1" x14ac:dyDescent="0.35">
      <c r="A23" s="2">
        <v>30</v>
      </c>
      <c r="B23" s="22" t="s">
        <v>8</v>
      </c>
      <c r="C23" s="15">
        <f>FV($D$14,$A23*12,$D$12*-1)</f>
        <v>4641612.0518492404</v>
      </c>
      <c r="D23" s="16">
        <f>C23*rendimento_carteira</f>
        <v>27849.672311095444</v>
      </c>
    </row>
    <row r="24" spans="1:4" x14ac:dyDescent="0.25">
      <c r="A24" s="2"/>
    </row>
    <row r="25" spans="1:4" x14ac:dyDescent="0.25">
      <c r="B25" s="35" t="s">
        <v>16</v>
      </c>
      <c r="C25" s="36" t="s">
        <v>29</v>
      </c>
      <c r="D25" s="34"/>
    </row>
    <row r="26" spans="1:4" ht="17.25" x14ac:dyDescent="0.3">
      <c r="B26" s="33" t="s">
        <v>17</v>
      </c>
      <c r="C26" s="37">
        <f>aporte</f>
        <v>1071</v>
      </c>
    </row>
    <row r="28" spans="1:4" x14ac:dyDescent="0.25">
      <c r="A28" s="3"/>
      <c r="B28" s="38" t="s">
        <v>18</v>
      </c>
      <c r="C28" s="38" t="s">
        <v>19</v>
      </c>
      <c r="D28" s="38" t="s">
        <v>20</v>
      </c>
    </row>
    <row r="29" spans="1:4" x14ac:dyDescent="0.25">
      <c r="B29" s="10" t="s">
        <v>21</v>
      </c>
      <c r="C29" s="7">
        <f>VLOOKUP($C$25&amp;"-"&amp;B29,Planilha2!$A:$D,4,FALSE)</f>
        <v>0.32</v>
      </c>
      <c r="D29" s="55">
        <f>C29*$C$26</f>
        <v>342.72</v>
      </c>
    </row>
    <row r="30" spans="1:4" x14ac:dyDescent="0.25">
      <c r="B30" s="10" t="s">
        <v>22</v>
      </c>
      <c r="C30" s="7">
        <f>VLOOKUP($C$25&amp;"-"&amp;B30,Planilha2!$A:$D,4,FALSE)</f>
        <v>0.35</v>
      </c>
      <c r="D30" s="55">
        <f t="shared" ref="D30:D34" si="0">C30*$C$26</f>
        <v>374.84999999999997</v>
      </c>
    </row>
    <row r="31" spans="1:4" x14ac:dyDescent="0.25">
      <c r="B31" s="10" t="s">
        <v>23</v>
      </c>
      <c r="C31" s="7">
        <f>VLOOKUP($C$25&amp;"-"&amp;B31,Planilha2!$A:$D,4,FALSE)</f>
        <v>0.08</v>
      </c>
      <c r="D31" s="55">
        <f t="shared" si="0"/>
        <v>85.68</v>
      </c>
    </row>
    <row r="32" spans="1:4" x14ac:dyDescent="0.25">
      <c r="B32" s="10" t="s">
        <v>24</v>
      </c>
      <c r="C32" s="7">
        <f>VLOOKUP($C$25&amp;"-"&amp;B32,Planilha2!$A:$D,4,FALSE)</f>
        <v>0.05</v>
      </c>
      <c r="D32" s="55">
        <f t="shared" si="0"/>
        <v>53.550000000000004</v>
      </c>
    </row>
    <row r="33" spans="2:4" x14ac:dyDescent="0.25">
      <c r="B33" s="10" t="s">
        <v>25</v>
      </c>
      <c r="C33" s="7">
        <f>VLOOKUP($C$25&amp;"-"&amp;B33,Planilha2!$A:$D,4,FALSE)</f>
        <v>0.1</v>
      </c>
      <c r="D33" s="55">
        <f t="shared" si="0"/>
        <v>107.10000000000001</v>
      </c>
    </row>
    <row r="34" spans="2:4" x14ac:dyDescent="0.25">
      <c r="B34" s="10" t="s">
        <v>26</v>
      </c>
      <c r="C34" s="7">
        <f>VLOOKUP($C$25&amp;"-"&amp;B34,Planilha2!$A:$D,4,FALSE)</f>
        <v>10</v>
      </c>
      <c r="D34" s="55">
        <f t="shared" si="0"/>
        <v>10710</v>
      </c>
    </row>
    <row r="35" spans="2:4" x14ac:dyDescent="0.25">
      <c r="D35" s="8">
        <f>SUM(D29:D34)</f>
        <v>11673.9</v>
      </c>
    </row>
  </sheetData>
  <mergeCells count="9">
    <mergeCell ref="B15:C15"/>
    <mergeCell ref="B16:C16"/>
    <mergeCell ref="B4:C4"/>
    <mergeCell ref="B8:C11"/>
    <mergeCell ref="B5:C5"/>
    <mergeCell ref="B6:C6"/>
    <mergeCell ref="B12:C12"/>
    <mergeCell ref="B13:C13"/>
    <mergeCell ref="B14:C14"/>
  </mergeCells>
  <dataValidations count="1">
    <dataValidation type="list" allowBlank="1" showInputMessage="1" showErrorMessage="1" sqref="C25" xr:uid="{D7A40CBF-D20D-4292-87D2-8F1990012C93}">
      <formula1>"Conservador,Moderado,Agressivo,"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F461-AA8E-48D9-A890-A9B24DB9FBCB}">
  <dimension ref="A2:H20"/>
  <sheetViews>
    <sheetView topLeftCell="A9" workbookViewId="0">
      <selection activeCell="C29" sqref="C29"/>
    </sheetView>
  </sheetViews>
  <sheetFormatPr defaultRowHeight="15" x14ac:dyDescent="0.25"/>
  <cols>
    <col min="1" max="1" width="22.7109375" customWidth="1"/>
    <col min="3" max="3" width="18.5703125" bestFit="1" customWidth="1"/>
    <col min="7" max="7" width="16.85546875" bestFit="1" customWidth="1"/>
    <col min="8" max="8" width="32.85546875" customWidth="1"/>
  </cols>
  <sheetData>
    <row r="2" spans="1:8" x14ac:dyDescent="0.25">
      <c r="A2" t="s">
        <v>31</v>
      </c>
      <c r="B2" t="s">
        <v>27</v>
      </c>
      <c r="C2" s="10" t="s">
        <v>18</v>
      </c>
      <c r="D2" t="s">
        <v>30</v>
      </c>
    </row>
    <row r="3" spans="1:8" x14ac:dyDescent="0.25">
      <c r="A3" s="56" t="e">
        <f>Planilha1!C28+Planilha1!C28+Planilha1!C28</f>
        <v>#VALUE!</v>
      </c>
      <c r="B3" s="56" t="s">
        <v>28</v>
      </c>
      <c r="C3" s="57" t="s">
        <v>21</v>
      </c>
      <c r="D3" s="60">
        <v>0.3</v>
      </c>
      <c r="G3" s="56" t="s">
        <v>33</v>
      </c>
      <c r="H3" s="63">
        <f>Planilha1!C29</f>
        <v>0.32</v>
      </c>
    </row>
    <row r="4" spans="1:8" x14ac:dyDescent="0.25">
      <c r="A4" s="56" t="str">
        <f t="shared" ref="A4:A20" si="0">B4&amp;"-"&amp;C4</f>
        <v>Conservador-TIJOLO</v>
      </c>
      <c r="B4" s="56" t="s">
        <v>28</v>
      </c>
      <c r="C4" s="57" t="s">
        <v>22</v>
      </c>
      <c r="D4" s="60">
        <v>0.5</v>
      </c>
    </row>
    <row r="5" spans="1:8" x14ac:dyDescent="0.25">
      <c r="A5" s="56" t="str">
        <f t="shared" si="0"/>
        <v>Conservador-HIBRIDOS</v>
      </c>
      <c r="B5" s="56" t="s">
        <v>28</v>
      </c>
      <c r="C5" s="57" t="s">
        <v>23</v>
      </c>
      <c r="D5" s="60">
        <v>0.1</v>
      </c>
    </row>
    <row r="6" spans="1:8" x14ac:dyDescent="0.25">
      <c r="A6" s="56" t="str">
        <f t="shared" si="0"/>
        <v>Conservador-FOFs</v>
      </c>
      <c r="B6" s="56" t="s">
        <v>28</v>
      </c>
      <c r="C6" s="57" t="s">
        <v>24</v>
      </c>
      <c r="D6" s="60">
        <v>0.1</v>
      </c>
    </row>
    <row r="7" spans="1:8" x14ac:dyDescent="0.25">
      <c r="A7" s="56" t="str">
        <f t="shared" si="0"/>
        <v>Conservador-DESENVOLVIMENTO</v>
      </c>
      <c r="B7" s="56" t="s">
        <v>28</v>
      </c>
      <c r="C7" s="57" t="s">
        <v>25</v>
      </c>
      <c r="D7" s="60">
        <v>0</v>
      </c>
    </row>
    <row r="8" spans="1:8" x14ac:dyDescent="0.25">
      <c r="A8" s="58" t="str">
        <f t="shared" si="0"/>
        <v>Conservador-HOTELARIA</v>
      </c>
      <c r="B8" s="58" t="s">
        <v>28</v>
      </c>
      <c r="C8" s="59" t="s">
        <v>26</v>
      </c>
      <c r="D8" s="61">
        <v>0</v>
      </c>
    </row>
    <row r="9" spans="1:8" x14ac:dyDescent="0.25">
      <c r="A9" s="56" t="str">
        <f t="shared" si="0"/>
        <v>Moderado-PAPEL</v>
      </c>
      <c r="B9" s="56" t="s">
        <v>29</v>
      </c>
      <c r="C9" s="57" t="s">
        <v>21</v>
      </c>
      <c r="D9" s="62">
        <v>0.32</v>
      </c>
    </row>
    <row r="10" spans="1:8" x14ac:dyDescent="0.25">
      <c r="A10" s="56" t="str">
        <f t="shared" si="0"/>
        <v>Moderado-TIJOLO</v>
      </c>
      <c r="B10" s="56" t="s">
        <v>29</v>
      </c>
      <c r="C10" s="57" t="s">
        <v>22</v>
      </c>
      <c r="D10" s="62">
        <v>0.35</v>
      </c>
    </row>
    <row r="11" spans="1:8" x14ac:dyDescent="0.25">
      <c r="A11" s="56" t="str">
        <f t="shared" si="0"/>
        <v>Moderado-HIBRIDOS</v>
      </c>
      <c r="B11" s="56" t="s">
        <v>29</v>
      </c>
      <c r="C11" s="57" t="s">
        <v>23</v>
      </c>
      <c r="D11" s="62">
        <v>0.08</v>
      </c>
    </row>
    <row r="12" spans="1:8" x14ac:dyDescent="0.25">
      <c r="A12" s="56" t="str">
        <f t="shared" si="0"/>
        <v>Moderado-FOFs</v>
      </c>
      <c r="B12" s="56" t="s">
        <v>29</v>
      </c>
      <c r="C12" s="57" t="s">
        <v>24</v>
      </c>
      <c r="D12" s="62">
        <v>0.05</v>
      </c>
    </row>
    <row r="13" spans="1:8" x14ac:dyDescent="0.25">
      <c r="A13" s="56" t="str">
        <f t="shared" si="0"/>
        <v>Moderado-DESENVOLVIMENTO</v>
      </c>
      <c r="B13" s="56" t="s">
        <v>29</v>
      </c>
      <c r="C13" s="57" t="s">
        <v>25</v>
      </c>
      <c r="D13" s="62">
        <v>0.1</v>
      </c>
    </row>
    <row r="14" spans="1:8" x14ac:dyDescent="0.25">
      <c r="A14" s="58" t="str">
        <f t="shared" si="0"/>
        <v>Moderado-HOTELARIA</v>
      </c>
      <c r="B14" s="58" t="s">
        <v>29</v>
      </c>
      <c r="C14" s="59" t="s">
        <v>26</v>
      </c>
      <c r="D14" s="58">
        <v>10</v>
      </c>
    </row>
    <row r="15" spans="1:8" x14ac:dyDescent="0.25">
      <c r="A15" t="str">
        <f t="shared" si="0"/>
        <v>Agressivo-PAPEL</v>
      </c>
      <c r="B15" t="s">
        <v>32</v>
      </c>
      <c r="C15" s="10" t="s">
        <v>21</v>
      </c>
      <c r="D15" s="62">
        <v>0.5</v>
      </c>
    </row>
    <row r="16" spans="1:8" x14ac:dyDescent="0.25">
      <c r="A16" t="str">
        <f t="shared" si="0"/>
        <v>Agressivo-TIJOLO</v>
      </c>
      <c r="B16" t="s">
        <v>32</v>
      </c>
      <c r="C16" s="10" t="s">
        <v>22</v>
      </c>
      <c r="D16" s="62">
        <v>0.1</v>
      </c>
    </row>
    <row r="17" spans="1:4" x14ac:dyDescent="0.25">
      <c r="A17" t="str">
        <f t="shared" si="0"/>
        <v>Agressivo-HIBRIDOS</v>
      </c>
      <c r="B17" t="s">
        <v>32</v>
      </c>
      <c r="C17" s="10" t="s">
        <v>23</v>
      </c>
      <c r="D17" s="62">
        <v>0.05</v>
      </c>
    </row>
    <row r="18" spans="1:4" x14ac:dyDescent="0.25">
      <c r="A18" t="str">
        <f t="shared" si="0"/>
        <v>Agressivo-FOFs</v>
      </c>
      <c r="B18" t="s">
        <v>32</v>
      </c>
      <c r="C18" s="10" t="s">
        <v>24</v>
      </c>
      <c r="D18" s="62">
        <v>0.05</v>
      </c>
    </row>
    <row r="19" spans="1:4" x14ac:dyDescent="0.25">
      <c r="A19" t="str">
        <f t="shared" si="0"/>
        <v>Agressivo-DESENVOLVIMENTO</v>
      </c>
      <c r="B19" t="s">
        <v>32</v>
      </c>
      <c r="C19" s="10" t="s">
        <v>25</v>
      </c>
      <c r="D19" s="63">
        <v>0.2</v>
      </c>
    </row>
    <row r="20" spans="1:4" x14ac:dyDescent="0.25">
      <c r="A20" t="str">
        <f t="shared" si="0"/>
        <v>Agressivo-HOTELARIA</v>
      </c>
      <c r="B20" t="s">
        <v>32</v>
      </c>
      <c r="C20" s="10" t="s">
        <v>26</v>
      </c>
      <c r="D20" s="6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Américo</dc:creator>
  <cp:lastModifiedBy>Willian Américo</cp:lastModifiedBy>
  <dcterms:created xsi:type="dcterms:W3CDTF">2025-12-18T18:52:25Z</dcterms:created>
  <dcterms:modified xsi:type="dcterms:W3CDTF">2025-12-22T18:54:02Z</dcterms:modified>
</cp:coreProperties>
</file>